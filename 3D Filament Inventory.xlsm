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lay2learnus-my.sharepoint.com/personal/tyler_tjtechservices_com1/Documents/Documents/3D Files/Filiment Inventory/Blank Form/"/>
    </mc:Choice>
  </mc:AlternateContent>
  <xr:revisionPtr revIDLastSave="1387" documentId="8_{FC905067-6C30-4C67-A762-11E1DDA29DB9}" xr6:coauthVersionLast="47" xr6:coauthVersionMax="47" xr10:uidLastSave="{4D679FEA-9621-419C-8041-29C1508ABBC7}"/>
  <bookViews>
    <workbookView xWindow="30825" yWindow="3090" windowWidth="31290" windowHeight="15345" activeTab="1" xr2:uid="{EDEC6A3E-D9E0-43E1-856B-03462FC68C9B}"/>
  </bookViews>
  <sheets>
    <sheet name="Variables" sheetId="4" r:id="rId1"/>
    <sheet name="Tables" sheetId="5" r:id="rId2"/>
  </sheets>
  <definedNames>
    <definedName name="Brands">BrandTable[Brand]</definedName>
    <definedName name="Colors">ColorTable[Color]</definedName>
    <definedName name="ConfrimationLU">#REF!</definedName>
    <definedName name="Materials">MaterialTable[Material]</definedName>
    <definedName name="Vendors">VendorTable[Vendor]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9" i="4" l="1"/>
  <c r="A16" i="4"/>
  <c r="A18" i="4"/>
  <c r="A20" i="4"/>
  <c r="A15" i="4"/>
  <c r="A17" i="4"/>
  <c r="A4" i="4" l="1"/>
  <c r="A3" i="4"/>
  <c r="A5" i="4"/>
  <c r="A2" i="4"/>
  <c r="A6" i="4"/>
</calcChain>
</file>

<file path=xl/sharedStrings.xml><?xml version="1.0" encoding="utf-8"?>
<sst xmlns="http://schemas.openxmlformats.org/spreadsheetml/2006/main" count="65" uniqueCount="39">
  <si>
    <t>Code</t>
  </si>
  <si>
    <t>Date Purchased</t>
  </si>
  <si>
    <t>Starting Weight</t>
  </si>
  <si>
    <t>Print Temp</t>
  </si>
  <si>
    <t>Vendor</t>
  </si>
  <si>
    <t>Price</t>
  </si>
  <si>
    <t>Color</t>
  </si>
  <si>
    <t>Material Type</t>
  </si>
  <si>
    <t>Inventory Code</t>
  </si>
  <si>
    <t>Brand</t>
  </si>
  <si>
    <t>DateTime</t>
  </si>
  <si>
    <t>Inventory</t>
  </si>
  <si>
    <t>Used</t>
  </si>
  <si>
    <t>Material</t>
  </si>
  <si>
    <t>TimeStamp</t>
  </si>
  <si>
    <t>Next index number for Colors table</t>
  </si>
  <si>
    <t>Next index number for Materials table</t>
  </si>
  <si>
    <t>Next index number for Brands table</t>
  </si>
  <si>
    <t>Next index number for Vendors table</t>
  </si>
  <si>
    <t>Current Date</t>
  </si>
  <si>
    <t>Dynamic most recent Inventory Code</t>
  </si>
  <si>
    <t>Temporary Vendor</t>
  </si>
  <si>
    <t>Temporary Price</t>
  </si>
  <si>
    <t>Temporary Starting Volume</t>
  </si>
  <si>
    <t>Temporary Printing Temps</t>
  </si>
  <si>
    <t>Temporary Color</t>
  </si>
  <si>
    <t>Temporary Materials</t>
  </si>
  <si>
    <t>Temporary Brand</t>
  </si>
  <si>
    <t>Searched Inventory Code</t>
  </si>
  <si>
    <t>Searched Brand</t>
  </si>
  <si>
    <t>Searched Materail</t>
  </si>
  <si>
    <t>Searched Color</t>
  </si>
  <si>
    <t>Searched Temp</t>
  </si>
  <si>
    <t>Searched Remaining Volume on hand</t>
  </si>
  <si>
    <t>Should clear after use</t>
  </si>
  <si>
    <t>Formula remains, output is cleared after use</t>
  </si>
  <si>
    <t>Formula and value should remain</t>
  </si>
  <si>
    <t>Temporary Most recent Inventory code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</si>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</sst>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applyNumberFormat="1"/>
    <xf numFmtId="0" fontId="0" fillId="0" borderId="1" xfId="0" applyFont="1" applyBorder="1"/>
    <xf numFmtId="164" fontId="0" fillId="0" borderId="0" xfId="0" applyNumberFormat="1"/>
  </cellXfs>
  <cellStyles count="1">
    <cellStyle name="Normal" xfId="0" builtinId="0"/>
  </cellStyles>
  <dxfs count="5">
    <dxf>
      <numFmt numFmtId="164" formatCode="[$-409]m/d/yy\ h:mm\ AM/PM;@"/>
    </dxf>
    <dxf>
      <numFmt numFmtId="19" formatCode="m/d/yyyy"/>
    </dxf>
    <dxf>
      <numFmt numFmtId="0" formatCode="General"/>
    </dxf>
    <dxf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80AF91-628A-4C26-98CC-7B9081DE25F1}" name="ColorTable" displayName="ColorTable" ref="C1:D2" insertRow="1" totalsRowShown="0">
  <autoFilter ref="C1:D2" xr:uid="{2B80AF91-628A-4C26-98CC-7B9081DE25F1}"/>
  <tableColumns count="2">
    <tableColumn id="1" xr3:uid="{7A2BBB15-117D-4A06-8D79-F02D768568E6}" name="Color"/>
    <tableColumn id="2" xr3:uid="{983D6488-CC6B-40EF-B9DA-915300B4DBCD}" name="Code" dataDxfId="4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915E3D-7653-45CB-92D3-4B2B47FE6AF4}" name="MaterialTable" displayName="MaterialTable" ref="A1:B2" insertRow="1" totalsRowShown="0">
  <autoFilter ref="A1:B2" xr:uid="{88915E3D-7653-45CB-92D3-4B2B47FE6AF4}"/>
  <tableColumns count="2">
    <tableColumn id="1" xr3:uid="{ABF77E1E-E5C2-4A9B-AA51-CFF1757124BD}" name="Material"/>
    <tableColumn id="2" xr3:uid="{8852CCCE-ADF1-4FB6-A005-697DDCC71D7B}" name="Cod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DC22F3-1B16-4871-8361-F8DADD7724EB}" name="BrandTable" displayName="BrandTable" ref="E1:F2" insertRow="1" totalsRowShown="0">
  <autoFilter ref="E1:F2" xr:uid="{DBDC22F3-1B16-4871-8361-F8DADD7724EB}"/>
  <tableColumns count="2">
    <tableColumn id="1" xr3:uid="{F75C8109-41E4-45C7-A932-3EDA3930073C}" name="Brand"/>
    <tableColumn id="2" xr3:uid="{F094BCC8-4A23-48CB-B614-55FE8C6F574A}" name="Cod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56EC80-0BF0-4B2F-93FB-C680F5B84616}" name="Consumption" displayName="Consumption" ref="G1:I2" insertRow="1" totalsRowShown="0">
  <autoFilter ref="G1:I2" xr:uid="{F756EC80-0BF0-4B2F-93FB-C680F5B84616}"/>
  <tableColumns count="3">
    <tableColumn id="1" xr3:uid="{B6DE1AB3-5EB6-45D3-872F-D9258DE43581}" name="DateTime" dataDxfId="3"/>
    <tableColumn id="2" xr3:uid="{E44F536C-D612-409F-B84C-5DAF50A1CA18}" name="Inventory"/>
    <tableColumn id="3" xr3:uid="{4A82B0F7-6136-45D1-AEA0-CEB3D1E40710}" name="Used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644A9D-FE56-4C5E-B4DA-C82C8895D1E4}" name="Master" displayName="Master" ref="J1:S2" totalsRowShown="0">
  <autoFilter ref="J1:S2" xr:uid="{09644A9D-FE56-4C5E-B4DA-C82C8895D1E4}"/>
  <tableColumns count="10">
    <tableColumn id="1" xr3:uid="{E349A5B8-006F-494C-89A3-927139427B3A}" name="Inventory Code" dataDxfId="2"/>
    <tableColumn id="2" xr3:uid="{532F7B78-9715-49A3-9F84-75F8EEE66ACA}" name="Material Type"/>
    <tableColumn id="3" xr3:uid="{C3CDDE51-960D-44F4-894D-8FADE5777375}" name="Color"/>
    <tableColumn id="4" xr3:uid="{1A940AA9-0175-44C4-8DB1-366C1EC32F7A}" name="Starting Weight"/>
    <tableColumn id="5" xr3:uid="{76ADDFDD-D7BF-4A05-94C1-F4C8191A37CF}" name="Print Temp"/>
    <tableColumn id="6" xr3:uid="{98A77269-92EC-49E8-8A44-E223FDEE6547}" name="Vendor"/>
    <tableColumn id="10" xr3:uid="{E3BAF30A-DF5C-41D4-8221-8F762874386D}" name="Brand"/>
    <tableColumn id="7" xr3:uid="{5FD39301-C3A7-45A1-BB1D-78DBA2AB7623}" name="Price"/>
    <tableColumn id="8" xr3:uid="{B25A9343-F831-4D27-86CC-0EF3C0B26384}" name="Date Purchased" dataDxfId="1"/>
    <tableColumn id="11" xr3:uid="{6E6A47B4-276E-4E21-A56C-DE9DEB6AF78B}" name="TimeStamp" dataDxfId="0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A2BAD8-C965-4743-AEF9-4966832D2117}" name="VendorTable" displayName="VendorTable" ref="T1:U2" insertRow="1" totalsRowShown="0">
  <autoFilter ref="T1:U2" xr:uid="{83A2BAD8-C965-4743-AEF9-4966832D2117}"/>
  <tableColumns count="2">
    <tableColumn id="1" xr3:uid="{A770D11C-0559-4D85-BBFE-B772D288D392}" name="Vendor"/>
    <tableColumn id="2" xr3:uid="{4AAD98B0-A23B-4115-A115-96C45DCAE527}" name="Cod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AB53D-C27D-4232-A144-787B7A447958}">
  <sheetPr codeName="Variables"/>
  <dimension ref="A1:C20"/>
  <sheetViews>
    <sheetView workbookViewId="0">
      <selection activeCell="A7" sqref="A7"/>
    </sheetView>
  </sheetViews>
  <sheetFormatPr defaultRowHeight="15" x14ac:dyDescent="0.25"/>
  <cols>
    <col min="1" max="1" width="13.7109375" bestFit="1" customWidth="1"/>
    <col min="2" max="2" width="35.7109375" bestFit="1" customWidth="1"/>
    <col min="3" max="3" width="41" bestFit="1" customWidth="1"/>
    <col min="8" max="8" width="14.42578125" customWidth="1"/>
  </cols>
  <sheetData>
    <row r="1" spans="1:3" x14ac:dyDescent="0.25">
      <c r="B1" t="s">
        <v>28</v>
      </c>
      <c r="C1" t="s">
        <v>34</v>
      </c>
    </row>
    <row r="2" spans="1:3" x14ac:dyDescent="0.25">
      <c r="A2" t="str">
        <f>_xlfn.IFNA(VLOOKUP(A1,Master[],7,FALSE),"")</f>
        <v/>
      </c>
      <c r="B2" t="s">
        <v>29</v>
      </c>
      <c r="C2" t="s">
        <v>35</v>
      </c>
    </row>
    <row r="3" spans="1:3" x14ac:dyDescent="0.25">
      <c r="A3" t="str">
        <f>_xlfn.IFNA(VLOOKUP(A1,Master[],2,FALSE),"")</f>
        <v/>
      </c>
      <c r="B3" t="s">
        <v>30</v>
      </c>
      <c r="C3" t="s">
        <v>35</v>
      </c>
    </row>
    <row r="4" spans="1:3" x14ac:dyDescent="0.25">
      <c r="A4" t="str">
        <f>_xlfn.IFNA(VLOOKUP(A1,Master[],3,FALSE),"")</f>
        <v/>
      </c>
      <c r="B4" t="s">
        <v>31</v>
      </c>
      <c r="C4" t="s">
        <v>35</v>
      </c>
    </row>
    <row r="5" spans="1:3" x14ac:dyDescent="0.25">
      <c r="A5" t="str">
        <f>_xlfn.IFNA(VLOOKUP(A1,Master[],5,FALSE),"")</f>
        <v/>
      </c>
      <c r="B5" t="s">
        <v>32</v>
      </c>
      <c r="C5" t="s">
        <v>35</v>
      </c>
    </row>
    <row r="6" spans="1:3" x14ac:dyDescent="0.25">
      <c r="A6" t="str">
        <f>IFERROR(ROUND(VLOOKUP(A1,Master[],4,FALSE)-(SUMIF(Consumption[Inventory],Variables!A1,Consumption[Used])),2)&amp;" g","")</f>
        <v/>
      </c>
      <c r="B6" t="s">
        <v>33</v>
      </c>
      <c r="C6" t="s">
        <v>35</v>
      </c>
    </row>
    <row r="7" spans="1:3" x14ac:dyDescent="0.25">
      <c r="B7" t="s">
        <v>27</v>
      </c>
      <c r="C7" t="s">
        <v>34</v>
      </c>
    </row>
    <row r="8" spans="1:3" x14ac:dyDescent="0.25">
      <c r="B8" t="s">
        <v>26</v>
      </c>
      <c r="C8" t="s">
        <v>34</v>
      </c>
    </row>
    <row r="9" spans="1:3" x14ac:dyDescent="0.25">
      <c r="B9" t="s">
        <v>25</v>
      </c>
      <c r="C9" t="s">
        <v>34</v>
      </c>
    </row>
    <row r="10" spans="1:3" x14ac:dyDescent="0.25">
      <c r="A10" t="s">
        <v>38</v>
      </c>
      <c r="B10" t="s">
        <v>24</v>
      </c>
      <c r="C10" t="s">
        <v>34</v>
      </c>
    </row>
    <row r="11" spans="1:3" x14ac:dyDescent="0.25">
      <c r="A11" t="s">
        <v>38</v>
      </c>
      <c r="B11" t="s">
        <v>23</v>
      </c>
      <c r="C11" t="s">
        <v>34</v>
      </c>
    </row>
    <row r="12" spans="1:3" x14ac:dyDescent="0.25">
      <c r="A12" t="s">
        <v>38</v>
      </c>
      <c r="B12" t="s">
        <v>22</v>
      </c>
      <c r="C12" t="s">
        <v>34</v>
      </c>
    </row>
    <row r="13" spans="1:3" x14ac:dyDescent="0.25">
      <c r="A13" t="s">
        <v>38</v>
      </c>
      <c r="B13" t="s">
        <v>21</v>
      </c>
      <c r="C13" t="s">
        <v>34</v>
      </c>
    </row>
    <row r="14" spans="1:3" x14ac:dyDescent="0.25">
      <c r="B14" t="s">
        <v>37</v>
      </c>
      <c r="C14" t="s">
        <v>34</v>
      </c>
    </row>
    <row r="15" spans="1:3" x14ac:dyDescent="0.25">
      <c r="A15">
        <f>_xlfn.NUMBERVALUE("1"&amp;ROWS(Materials)+1)</f>
        <v>12</v>
      </c>
      <c r="B15" t="s">
        <v>16</v>
      </c>
      <c r="C15" t="s">
        <v>36</v>
      </c>
    </row>
    <row r="16" spans="1:3" x14ac:dyDescent="0.25">
      <c r="A16">
        <f>_xlfn.NUMBERVALUE("2"&amp;ROWS(Colors)+1)</f>
        <v>22</v>
      </c>
      <c r="B16" t="s">
        <v>15</v>
      </c>
      <c r="C16" t="s">
        <v>36</v>
      </c>
    </row>
    <row r="17" spans="1:3" x14ac:dyDescent="0.25">
      <c r="A17">
        <f>_xlfn.NUMBERVALUE("3"&amp;ROWS(Brands)+1)</f>
        <v>32</v>
      </c>
      <c r="B17" t="s">
        <v>17</v>
      </c>
      <c r="C17" t="s">
        <v>36</v>
      </c>
    </row>
    <row r="18" spans="1:3" x14ac:dyDescent="0.25">
      <c r="A18">
        <f>_xlfn.NUMBERVALUE("4"&amp;ROWS(Vendors)+1)</f>
        <v>42</v>
      </c>
      <c r="B18" t="s">
        <v>18</v>
      </c>
      <c r="C18" t="s">
        <v>36</v>
      </c>
    </row>
    <row r="19" spans="1:3" x14ac:dyDescent="0.25">
      <c r="A19">
        <f>MAX(Master[Inventory Code])</f>
        <v>0</v>
      </c>
      <c r="B19" t="s">
        <v>20</v>
      </c>
      <c r="C19" t="s">
        <v>36</v>
      </c>
    </row>
    <row r="20" spans="1:3" x14ac:dyDescent="0.25">
      <c r="A20" s="1">
        <f ca="1">TODAY()</f>
        <v>44594</v>
      </c>
      <c r="B20" t="s">
        <v>19</v>
      </c>
      <c r="C20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7635-0F1D-4455-9501-F00C9A0871E1}">
  <sheetPr codeName="Tables"/>
  <dimension ref="A1:U2"/>
  <sheetViews>
    <sheetView tabSelected="1" workbookViewId="0">
      <selection activeCell="G12" sqref="G12"/>
    </sheetView>
  </sheetViews>
  <sheetFormatPr defaultRowHeight="15" x14ac:dyDescent="0.25"/>
  <cols>
    <col min="4" max="4" width="10.7109375" customWidth="1"/>
    <col min="7" max="7" width="13.85546875" bestFit="1" customWidth="1"/>
    <col min="10" max="10" width="14.85546875" customWidth="1"/>
    <col min="15" max="15" width="12" bestFit="1" customWidth="1"/>
    <col min="18" max="18" width="17.140625" bestFit="1" customWidth="1"/>
    <col min="19" max="19" width="17.140625" style="5" customWidth="1"/>
    <col min="20" max="20" width="9.7109375" customWidth="1"/>
  </cols>
  <sheetData>
    <row r="1" spans="1:21" x14ac:dyDescent="0.25">
      <c r="A1" t="s">
        <v>13</v>
      </c>
      <c r="B1" t="s">
        <v>0</v>
      </c>
      <c r="C1" t="s">
        <v>6</v>
      </c>
      <c r="D1" t="s">
        <v>0</v>
      </c>
      <c r="E1" t="s">
        <v>9</v>
      </c>
      <c r="F1" t="s">
        <v>0</v>
      </c>
      <c r="G1" t="s">
        <v>10</v>
      </c>
      <c r="H1" t="s">
        <v>11</v>
      </c>
      <c r="I1" t="s">
        <v>12</v>
      </c>
      <c r="J1" t="s">
        <v>8</v>
      </c>
      <c r="K1" t="s">
        <v>7</v>
      </c>
      <c r="L1" t="s">
        <v>6</v>
      </c>
      <c r="M1" t="s">
        <v>2</v>
      </c>
      <c r="N1" t="s">
        <v>3</v>
      </c>
      <c r="O1" t="s">
        <v>4</v>
      </c>
      <c r="P1" t="s">
        <v>9</v>
      </c>
      <c r="Q1" t="s">
        <v>5</v>
      </c>
      <c r="R1" t="s">
        <v>1</v>
      </c>
      <c r="S1" s="5" t="s">
        <v>14</v>
      </c>
      <c r="T1" t="s">
        <v>4</v>
      </c>
      <c r="U1" t="s">
        <v>0</v>
      </c>
    </row>
    <row r="2" spans="1:21" x14ac:dyDescent="0.25">
      <c r="D2" s="4"/>
      <c r="G2" s="2"/>
      <c r="J2" s="3"/>
      <c r="R2" s="1"/>
    </row>
  </sheetData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Variables</vt:lpstr>
      <vt:lpstr>Tables</vt:lpstr>
      <vt:lpstr>Brands</vt:lpstr>
      <vt:lpstr>Colors</vt:lpstr>
      <vt:lpstr>Materials</vt:lpstr>
      <vt:lpstr>Vendors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Jones</dc:creator>
  <cp:lastModifiedBy>Tyler Jones</cp:lastModifiedBy>
  <dcterms:created xsi:type="dcterms:W3CDTF">2022-02-02T19:14:50Z</dcterms:created>
  <dcterms:modified xsi:type="dcterms:W3CDTF">2022-02-03T04:44:22Z</dcterms:modified>
</cp:coreProperties>
</file>